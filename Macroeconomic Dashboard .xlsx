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ridhibam/Desktop/"/>
    </mc:Choice>
  </mc:AlternateContent>
  <xr:revisionPtr revIDLastSave="0" documentId="8_{C74D419F-BE41-E24D-8125-54C64278BD37}" xr6:coauthVersionLast="47" xr6:coauthVersionMax="47" xr10:uidLastSave="{00000000-0000-0000-0000-000000000000}"/>
  <bookViews>
    <workbookView xWindow="0" yWindow="0" windowWidth="28800" windowHeight="18000" xr2:uid="{8444FE52-6B44-2245-B704-555775EB8234}"/>
  </bookViews>
  <sheets>
    <sheet name="Dashboard " sheetId="1" r:id="rId1"/>
    <sheet name="Raw data " sheetId="2" r:id="rId2"/>
    <sheet name="Sheet2" sheetId="3" state="hidden" r:id="rId3"/>
  </sheets>
  <externalReferences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G5" i="1"/>
  <c r="E5" i="1"/>
  <c r="A5" i="1"/>
  <c r="L3" i="2"/>
  <c r="L4" i="2"/>
  <c r="L5" i="2"/>
  <c r="L6" i="2"/>
  <c r="L7" i="2"/>
  <c r="L8" i="2"/>
  <c r="L9" i="2"/>
  <c r="L10" i="2"/>
  <c r="L11" i="2"/>
  <c r="L2" i="2"/>
</calcChain>
</file>

<file path=xl/sharedStrings.xml><?xml version="1.0" encoding="utf-8"?>
<sst xmlns="http://schemas.openxmlformats.org/spreadsheetml/2006/main" count="46" uniqueCount="34">
  <si>
    <t>Fiscal Year</t>
  </si>
  <si>
    <t>Real GDP (₹ Lakh Crore)</t>
  </si>
  <si>
    <t>GDP Growth YoY (%)</t>
  </si>
  <si>
    <t>CPI Inflation (%)</t>
  </si>
  <si>
    <t>Core CPI (%)</t>
  </si>
  <si>
    <t>Repo Rate % (Mar)</t>
  </si>
  <si>
    <t>Reverse Repo % (Mar)</t>
  </si>
  <si>
    <t>Fiscal Deficit % of GDP</t>
  </si>
  <si>
    <t>Current Account % of GDP</t>
  </si>
  <si>
    <t>INR/USD Annual Avg</t>
  </si>
  <si>
    <t>10Y G-Sec Yield (%)</t>
  </si>
  <si>
    <t>Real Repo Rate (=F-D)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</si>
  <si>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</si>
  <si>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</si>
  <si>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</si>
  <si>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</si>
  <si>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</si>
  <si>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</si>
  <si>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</si>
  <si>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</si>
  <si>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</si>
  <si>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</si>
  <si>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 xml:space="preserve"> Sources: RBI · MOSPI · World Bank · Ministry of Finance          Last Updated: FY2025</t>
  </si>
  <si>
    <t>REAL GDP
2024-25</t>
  </si>
  <si>
    <t>GDP GROWTH</t>
  </si>
  <si>
    <t>CPI INFLATION</t>
  </si>
  <si>
    <t>REPO RATE</t>
  </si>
  <si>
    <t>REAL REPO
Repo−CPI</t>
  </si>
  <si>
    <t>₹ Lakh Crore</t>
  </si>
  <si>
    <t>% YoY</t>
  </si>
  <si>
    <t>% Annual</t>
  </si>
  <si>
    <t>% Mar 2025</t>
  </si>
  <si>
    <t>% Real Rate</t>
  </si>
  <si>
    <t xml:space="preserve">                                     MACROECONOMIC DASHBOARD | GDP · Inflation · Monetary Policy | 2015-16 to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</si>
</sst>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26"/>
      <color theme="0"/>
      <name val="Aptos Narrow (Body)"/>
    </font>
    <font>
      <sz val="8"/>
      <name val="Aptos Narrow"/>
      <family val="2"/>
      <scheme val="minor"/>
    </font>
    <font>
      <b/>
      <sz val="8"/>
      <color rgb="FF7F8C8D"/>
      <name val="Arial"/>
      <family val="2"/>
    </font>
    <font>
      <b/>
      <sz val="18"/>
      <color rgb="FF17A589"/>
      <name val="Arial"/>
      <family val="2"/>
    </font>
    <font>
      <b/>
      <sz val="18"/>
      <color rgb="FF4472C4"/>
      <name val="Arial"/>
      <family val="2"/>
    </font>
    <font>
      <b/>
      <sz val="18"/>
      <color rgb="FFF39C12"/>
      <name val="Arial"/>
      <family val="2"/>
    </font>
    <font>
      <b/>
      <sz val="18"/>
      <color rgb="FF2E5090"/>
      <name val="Arial"/>
      <family val="2"/>
    </font>
    <font>
      <b/>
      <sz val="18"/>
      <color rgb="FFC0392B"/>
      <name val="Arial"/>
      <family val="2"/>
    </font>
    <font>
      <i/>
      <sz val="8"/>
      <color rgb="FF7F8C8D"/>
      <name val="Arial"/>
      <family val="2"/>
    </font>
    <font>
      <b/>
      <sz val="12"/>
      <color theme="0"/>
      <name val="Aptos Narrow"/>
      <family val="2"/>
      <scheme val="minor"/>
    </font>
    <font>
      <sz val="12"/>
      <color theme="7" tint="-0.249977111117893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rgb="FFF2F4F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medium">
        <color rgb="FF17A589"/>
      </left>
      <right style="medium">
        <color rgb="FF17A589"/>
      </right>
      <top style="thin">
        <color rgb="FFBDC3C7"/>
      </top>
      <bottom style="thin">
        <color rgb="FFBDC3C7"/>
      </bottom>
      <diagonal/>
    </border>
    <border>
      <left style="medium">
        <color rgb="FF4472C4"/>
      </left>
      <right style="medium">
        <color rgb="FF4472C4"/>
      </right>
      <top style="thin">
        <color rgb="FFBDC3C7"/>
      </top>
      <bottom style="thin">
        <color rgb="FFBDC3C7"/>
      </bottom>
      <diagonal/>
    </border>
    <border>
      <left style="medium">
        <color rgb="FFF39C12"/>
      </left>
      <right style="medium">
        <color rgb="FFF39C12"/>
      </right>
      <top style="thin">
        <color rgb="FFBDC3C7"/>
      </top>
      <bottom style="thin">
        <color rgb="FFBDC3C7"/>
      </bottom>
      <diagonal/>
    </border>
    <border>
      <left style="medium">
        <color rgb="FF2E5090"/>
      </left>
      <right style="medium">
        <color rgb="FF2E5090"/>
      </right>
      <top style="thin">
        <color rgb="FFBDC3C7"/>
      </top>
      <bottom style="thin">
        <color rgb="FFBDC3C7"/>
      </bottom>
      <diagonal/>
    </border>
    <border>
      <left style="medium">
        <color rgb="FFC0392B"/>
      </left>
      <right style="medium">
        <color rgb="FFC0392B"/>
      </right>
      <top style="thin">
        <color rgb="FFBDC3C7"/>
      </top>
      <bottom style="thin">
        <color rgb="FFBDC3C7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10" borderId="0" xfId="0" applyFill="1"/>
    <xf numFmtId="0" fontId="11" fillId="11" borderId="6" xfId="0" applyFont="1" applyFill="1" applyBorder="1"/>
    <xf numFmtId="0" fontId="11" fillId="11" borderId="7" xfId="0" applyFont="1" applyFill="1" applyBorder="1"/>
    <xf numFmtId="0" fontId="0" fillId="12" borderId="6" xfId="0" applyFill="1" applyBorder="1"/>
    <xf numFmtId="0" fontId="0" fillId="12" borderId="7" xfId="0" applyFill="1" applyBorder="1"/>
    <xf numFmtId="0" fontId="0" fillId="0" borderId="6" xfId="0" applyBorder="1"/>
    <xf numFmtId="0" fontId="0" fillId="0" borderId="7" xfId="0" applyBorder="1"/>
    <xf numFmtId="0" fontId="12" fillId="0" borderId="0" xfId="0" applyFont="1"/>
    <xf numFmtId="0" fontId="4" fillId="9" borderId="1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2" fillId="2" borderId="0" xfId="0" applyFont="1" applyFill="1"/>
    <xf numFmtId="0" fontId="1" fillId="2" borderId="0" xfId="0" applyFont="1" applyFill="1"/>
    <xf numFmtId="0" fontId="0" fillId="3" borderId="0" xfId="0" applyFill="1"/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4" fontId="5" fillId="9" borderId="1" xfId="0" applyNumberFormat="1" applyFont="1" applyFill="1" applyBorder="1" applyAlignment="1">
      <alignment horizontal="center" vertical="center"/>
    </xf>
    <xf numFmtId="164" fontId="6" fillId="9" borderId="2" xfId="0" applyNumberFormat="1" applyFont="1" applyFill="1" applyBorder="1" applyAlignment="1">
      <alignment horizontal="center" vertical="center"/>
    </xf>
    <xf numFmtId="164" fontId="7" fillId="9" borderId="3" xfId="0" applyNumberFormat="1" applyFont="1" applyFill="1" applyBorder="1" applyAlignment="1">
      <alignment horizontal="center" vertical="center"/>
    </xf>
    <xf numFmtId="2" fontId="8" fillId="9" borderId="4" xfId="0" applyNumberFormat="1" applyFont="1" applyFill="1" applyBorder="1" applyAlignment="1">
      <alignment horizontal="center" vertical="center"/>
    </xf>
    <xf numFmtId="2" fontId="9" fillId="9" borderId="5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microsoft.com/office/2017/10/relationships/person" Target="persons/perso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India: GDP Growth vs CPI Inflation  (FY2015-16 to FY2024-25)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[2]Data!$C$2</c:f>
              <c:strCache>
                <c:ptCount val="1"/>
                <c:pt idx="0">
                  <c:v>GDP Growth YoY (%)</c:v>
                </c:pt>
              </c:strCache>
            </c:strRef>
          </c:tx>
          <c:spPr>
            <a:ln w="28080">
              <a:solidFill>
                <a:srgbClr val="4472C4"/>
              </a:solidFill>
              <a:round/>
            </a:ln>
          </c:spPr>
          <c:marker>
            <c:symbol val="circle"/>
            <c:size val="7"/>
            <c:spPr>
              <a:solidFill>
                <a:srgbClr val="4472C4"/>
              </a:solidFill>
            </c:spPr>
          </c:marker>
          <c:dLbls>
            <c:dLbl>
              <c:idx val="0"/>
              <c:layout>
                <c:manualLayout>
                  <c:x val="-1.7467248908296956E-2"/>
                  <c:y val="1.76600441501103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076-8940-98AD-DBC08D2A1966}"/>
                </c:ext>
              </c:extLst>
            </c:dLbl>
            <c:dLbl>
              <c:idx val="7"/>
              <c:layout>
                <c:manualLayout>
                  <c:x val="-1.6011644832605532E-2"/>
                  <c:y val="-2.86975717439293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76-8940-98AD-DBC08D2A1966}"/>
                </c:ext>
              </c:extLst>
            </c:dLbl>
            <c:dLbl>
              <c:idx val="8"/>
              <c:layout>
                <c:manualLayout>
                  <c:x val="-2.9112081513829307E-3"/>
                  <c:y val="-1.98675496688741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076-8940-98AD-DBC08D2A19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[2]Data!$A$3:$A$12</c:f>
              <c:strCache>
                <c:ptCount val="10"/>
                <c:pt idx="0">
                  <c:v>2015-16</c:v>
                </c:pt>
                <c:pt idx="1">
                  <c:v>2016-17</c:v>
                </c:pt>
                <c:pt idx="2">
                  <c:v>2017-18</c:v>
                </c:pt>
                <c:pt idx="3">
                  <c:v>2018-19</c:v>
                </c:pt>
                <c:pt idx="4">
                  <c:v>2019-20</c:v>
                </c:pt>
                <c:pt idx="5">
                  <c:v>2020-21</c:v>
                </c:pt>
                <c:pt idx="6">
                  <c:v>2021-22</c:v>
                </c:pt>
                <c:pt idx="7">
                  <c:v>2022-23</c:v>
                </c:pt>
                <c:pt idx="8">
                  <c:v>2023-24</c:v>
                </c:pt>
                <c:pt idx="9">
                  <c:v>2024-25</c:v>
                </c:pt>
              </c:strCache>
            </c:strRef>
          </c:cat>
          <c:val>
            <c:numRef>
              <c:f>[2]Data!$C$3:$C$12</c:f>
              <c:numCache>
                <c:formatCode>General</c:formatCode>
                <c:ptCount val="10"/>
                <c:pt idx="0">
                  <c:v>8</c:v>
                </c:pt>
                <c:pt idx="1">
                  <c:v>8.3000000000000007</c:v>
                </c:pt>
                <c:pt idx="2">
                  <c:v>6.8</c:v>
                </c:pt>
                <c:pt idx="3">
                  <c:v>6.5</c:v>
                </c:pt>
                <c:pt idx="4">
                  <c:v>4</c:v>
                </c:pt>
                <c:pt idx="5">
                  <c:v>-6.6</c:v>
                </c:pt>
                <c:pt idx="6">
                  <c:v>8.6999999999999993</c:v>
                </c:pt>
                <c:pt idx="7">
                  <c:v>7</c:v>
                </c:pt>
                <c:pt idx="8">
                  <c:v>8.1999999999999993</c:v>
                </c:pt>
                <c:pt idx="9">
                  <c:v>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076-8940-98AD-DBC08D2A1966}"/>
            </c:ext>
          </c:extLst>
        </c:ser>
        <c:ser>
          <c:idx val="1"/>
          <c:order val="1"/>
          <c:tx>
            <c:strRef>
              <c:f>[2]Data!$D$2</c:f>
              <c:strCache>
                <c:ptCount val="1"/>
                <c:pt idx="0">
                  <c:v>CPI Inflation (%)</c:v>
                </c:pt>
              </c:strCache>
            </c:strRef>
          </c:tx>
          <c:spPr>
            <a:ln w="28080">
              <a:solidFill>
                <a:srgbClr val="F39C12"/>
              </a:solidFill>
              <a:round/>
            </a:ln>
          </c:spPr>
          <c:marker>
            <c:symbol val="diamond"/>
            <c:size val="7"/>
            <c:spPr>
              <a:solidFill>
                <a:srgbClr val="F39C12"/>
              </a:solidFill>
            </c:spPr>
          </c:marker>
          <c:dLbls>
            <c:dLbl>
              <c:idx val="7"/>
              <c:layout>
                <c:manualLayout>
                  <c:x val="-4.3668122270743423E-3"/>
                  <c:y val="3.97350993377483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076-8940-98AD-DBC08D2A19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[2]Data!$A$3:$A$12</c:f>
              <c:strCache>
                <c:ptCount val="10"/>
                <c:pt idx="0">
                  <c:v>2015-16</c:v>
                </c:pt>
                <c:pt idx="1">
                  <c:v>2016-17</c:v>
                </c:pt>
                <c:pt idx="2">
                  <c:v>2017-18</c:v>
                </c:pt>
                <c:pt idx="3">
                  <c:v>2018-19</c:v>
                </c:pt>
                <c:pt idx="4">
                  <c:v>2019-20</c:v>
                </c:pt>
                <c:pt idx="5">
                  <c:v>2020-21</c:v>
                </c:pt>
                <c:pt idx="6">
                  <c:v>2021-22</c:v>
                </c:pt>
                <c:pt idx="7">
                  <c:v>2022-23</c:v>
                </c:pt>
                <c:pt idx="8">
                  <c:v>2023-24</c:v>
                </c:pt>
                <c:pt idx="9">
                  <c:v>2024-25</c:v>
                </c:pt>
              </c:strCache>
            </c:strRef>
          </c:cat>
          <c:val>
            <c:numRef>
              <c:f>[2]Data!$D$3:$D$12</c:f>
              <c:numCache>
                <c:formatCode>General</c:formatCode>
                <c:ptCount val="10"/>
                <c:pt idx="0">
                  <c:v>4.91</c:v>
                </c:pt>
                <c:pt idx="1">
                  <c:v>4.53</c:v>
                </c:pt>
                <c:pt idx="2">
                  <c:v>3.58</c:v>
                </c:pt>
                <c:pt idx="3">
                  <c:v>3.41</c:v>
                </c:pt>
                <c:pt idx="4">
                  <c:v>4.76</c:v>
                </c:pt>
                <c:pt idx="5">
                  <c:v>6.16</c:v>
                </c:pt>
                <c:pt idx="6">
                  <c:v>5.51</c:v>
                </c:pt>
                <c:pt idx="7">
                  <c:v>6.66</c:v>
                </c:pt>
                <c:pt idx="8">
                  <c:v>5.36</c:v>
                </c:pt>
                <c:pt idx="9">
                  <c:v>4.5999999999999996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076-8940-98AD-DBC08D2A1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9415612"/>
        <c:axId val="77128853"/>
      </c:lineChart>
      <c:catAx>
        <c:axId val="894156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128853"/>
        <c:crosses val="autoZero"/>
        <c:auto val="1"/>
        <c:lblAlgn val="ctr"/>
        <c:lblOffset val="100"/>
        <c:noMultiLvlLbl val="0"/>
      </c:catAx>
      <c:valAx>
        <c:axId val="77128853"/>
        <c:scaling>
          <c:orientation val="minMax"/>
          <c:max val="12"/>
          <c:min val="-8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415612"/>
        <c:crosses val="min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India Inflation: CPI (Headline) vs Core CPI  (Food &amp; Fuel excluded)  —  FY2015-16 to FY2024-25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[2]Data!$D$2</c:f>
              <c:strCache>
                <c:ptCount val="1"/>
                <c:pt idx="0">
                  <c:v>CPI Inflation (%)</c:v>
                </c:pt>
              </c:strCache>
            </c:strRef>
          </c:tx>
          <c:spPr>
            <a:solidFill>
              <a:srgbClr val="F39C12"/>
            </a:solidFill>
            <a:ln w="0">
              <a:solidFill>
                <a:srgbClr val="F39C12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[2]Data!$A$3:$A$12</c:f>
              <c:strCache>
                <c:ptCount val="10"/>
                <c:pt idx="0">
                  <c:v>2015-16</c:v>
                </c:pt>
                <c:pt idx="1">
                  <c:v>2016-17</c:v>
                </c:pt>
                <c:pt idx="2">
                  <c:v>2017-18</c:v>
                </c:pt>
                <c:pt idx="3">
                  <c:v>2018-19</c:v>
                </c:pt>
                <c:pt idx="4">
                  <c:v>2019-20</c:v>
                </c:pt>
                <c:pt idx="5">
                  <c:v>2020-21</c:v>
                </c:pt>
                <c:pt idx="6">
                  <c:v>2021-22</c:v>
                </c:pt>
                <c:pt idx="7">
                  <c:v>2022-23</c:v>
                </c:pt>
                <c:pt idx="8">
                  <c:v>2023-24</c:v>
                </c:pt>
                <c:pt idx="9">
                  <c:v>2024-25</c:v>
                </c:pt>
              </c:strCache>
            </c:strRef>
          </c:cat>
          <c:val>
            <c:numRef>
              <c:f>[2]Data!$D$3:$D$12</c:f>
              <c:numCache>
                <c:formatCode>General</c:formatCode>
                <c:ptCount val="10"/>
                <c:pt idx="0">
                  <c:v>4.91</c:v>
                </c:pt>
                <c:pt idx="1">
                  <c:v>4.53</c:v>
                </c:pt>
                <c:pt idx="2">
                  <c:v>3.58</c:v>
                </c:pt>
                <c:pt idx="3">
                  <c:v>3.41</c:v>
                </c:pt>
                <c:pt idx="4">
                  <c:v>4.76</c:v>
                </c:pt>
                <c:pt idx="5">
                  <c:v>6.16</c:v>
                </c:pt>
                <c:pt idx="6">
                  <c:v>5.51</c:v>
                </c:pt>
                <c:pt idx="7">
                  <c:v>6.66</c:v>
                </c:pt>
                <c:pt idx="8">
                  <c:v>5.36</c:v>
                </c:pt>
                <c:pt idx="9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0-2247-AB50-C7742C0C6B07}"/>
            </c:ext>
          </c:extLst>
        </c:ser>
        <c:ser>
          <c:idx val="1"/>
          <c:order val="1"/>
          <c:tx>
            <c:strRef>
              <c:f>[2]Data!$E$2</c:f>
              <c:strCache>
                <c:ptCount val="1"/>
                <c:pt idx="0">
                  <c:v>Core CPI (%)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4472C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[2]Data!$A$3:$A$12</c:f>
              <c:strCache>
                <c:ptCount val="10"/>
                <c:pt idx="0">
                  <c:v>2015-16</c:v>
                </c:pt>
                <c:pt idx="1">
                  <c:v>2016-17</c:v>
                </c:pt>
                <c:pt idx="2">
                  <c:v>2017-18</c:v>
                </c:pt>
                <c:pt idx="3">
                  <c:v>2018-19</c:v>
                </c:pt>
                <c:pt idx="4">
                  <c:v>2019-20</c:v>
                </c:pt>
                <c:pt idx="5">
                  <c:v>2020-21</c:v>
                </c:pt>
                <c:pt idx="6">
                  <c:v>2021-22</c:v>
                </c:pt>
                <c:pt idx="7">
                  <c:v>2022-23</c:v>
                </c:pt>
                <c:pt idx="8">
                  <c:v>2023-24</c:v>
                </c:pt>
                <c:pt idx="9">
                  <c:v>2024-25</c:v>
                </c:pt>
              </c:strCache>
            </c:strRef>
          </c:cat>
          <c:val>
            <c:numRef>
              <c:f>[2]Data!$E$3:$E$12</c:f>
              <c:numCache>
                <c:formatCode>General</c:formatCode>
                <c:ptCount val="10"/>
                <c:pt idx="0">
                  <c:v>4.5999999999999996</c:v>
                </c:pt>
                <c:pt idx="1">
                  <c:v>4.9000000000000004</c:v>
                </c:pt>
                <c:pt idx="2">
                  <c:v>4.5999999999999996</c:v>
                </c:pt>
                <c:pt idx="3">
                  <c:v>5.8</c:v>
                </c:pt>
                <c:pt idx="4">
                  <c:v>4.0999999999999996</c:v>
                </c:pt>
                <c:pt idx="5">
                  <c:v>5.5</c:v>
                </c:pt>
                <c:pt idx="6">
                  <c:v>6</c:v>
                </c:pt>
                <c:pt idx="7">
                  <c:v>5.9</c:v>
                </c:pt>
                <c:pt idx="8">
                  <c:v>4.9000000000000004</c:v>
                </c:pt>
                <c:pt idx="9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00-2247-AB50-C7742C0C6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5"/>
        <c:axId val="2016544"/>
        <c:axId val="27696573"/>
      </c:barChart>
      <c:catAx>
        <c:axId val="20165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2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2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696573"/>
        <c:crosses val="autoZero"/>
        <c:auto val="1"/>
        <c:lblAlgn val="ctr"/>
        <c:lblOffset val="100"/>
        <c:noMultiLvlLbl val="0"/>
      </c:catAx>
      <c:valAx>
        <c:axId val="27696573"/>
        <c:scaling>
          <c:orientation val="minMax"/>
          <c:max val="1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Inflation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16544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Sheet2!$C$7</c:f>
              <c:strCache>
                <c:ptCount val="1"/>
                <c:pt idx="0">
                  <c:v>INR/USD Annual 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Sheet2!$B$8:$B$17</c:f>
              <c:strCache>
                <c:ptCount val="10"/>
                <c:pt idx="0">
                  <c:v>2015-16</c:v>
                </c:pt>
                <c:pt idx="1">
                  <c:v>2016-17</c:v>
                </c:pt>
                <c:pt idx="2">
                  <c:v>2017-18</c:v>
                </c:pt>
                <c:pt idx="3">
                  <c:v>2018-19</c:v>
                </c:pt>
                <c:pt idx="4">
                  <c:v>2019-20</c:v>
                </c:pt>
                <c:pt idx="5">
                  <c:v>2020-21</c:v>
                </c:pt>
                <c:pt idx="6">
                  <c:v>2021-22</c:v>
                </c:pt>
                <c:pt idx="7">
                  <c:v>2022-23</c:v>
                </c:pt>
                <c:pt idx="8">
                  <c:v>2023-24</c:v>
                </c:pt>
                <c:pt idx="9">
                  <c:v>2024-25</c:v>
                </c:pt>
              </c:strCache>
            </c:strRef>
          </c:cat>
          <c:val>
            <c:numRef>
              <c:f>Sheet2!$C$8:$C$17</c:f>
              <c:numCache>
                <c:formatCode>General</c:formatCode>
                <c:ptCount val="10"/>
                <c:pt idx="0">
                  <c:v>65.459999999999994</c:v>
                </c:pt>
                <c:pt idx="1">
                  <c:v>67.069999999999993</c:v>
                </c:pt>
                <c:pt idx="2">
                  <c:v>64.45</c:v>
                </c:pt>
                <c:pt idx="3">
                  <c:v>69.89</c:v>
                </c:pt>
                <c:pt idx="4">
                  <c:v>70.88</c:v>
                </c:pt>
                <c:pt idx="5">
                  <c:v>73.099999999999994</c:v>
                </c:pt>
                <c:pt idx="6">
                  <c:v>74.5</c:v>
                </c:pt>
                <c:pt idx="7">
                  <c:v>81.94</c:v>
                </c:pt>
                <c:pt idx="8">
                  <c:v>83.66</c:v>
                </c:pt>
                <c:pt idx="9">
                  <c:v>84.49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8-804E-BF4B-9CF943F45C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27818016"/>
        <c:axId val="1714439136"/>
      </c:barChart>
      <c:catAx>
        <c:axId val="42781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439136"/>
        <c:crosses val="autoZero"/>
        <c:auto val="1"/>
        <c:lblAlgn val="ctr"/>
        <c:lblOffset val="100"/>
        <c:noMultiLvlLbl val="0"/>
      </c:catAx>
      <c:valAx>
        <c:axId val="171443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81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IN" sz="1200"/>
              <a:t>RBI Repo Rate (%) </a:t>
            </a:r>
          </a:p>
        </c:rich>
      </c:tx>
      <c:layout>
        <c:manualLayout>
          <c:xMode val="edge"/>
          <c:yMode val="edge"/>
          <c:x val="0.39864534790294071"/>
          <c:y val="6.640522875816994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'[3]Raw Data'!$B$2</c:f>
              <c:strCache>
                <c:ptCount val="1"/>
                <c:pt idx="0">
                  <c:v>Repo Rate % (End of FY)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 w="32000">
              <a:solidFill>
                <a:srgbClr val="17A589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/>
              <a:lstStyle/>
              <a:p>
                <a:pPr>
                  <a:defRPr sz="9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'[3]Raw Data'!$A$3:$A$12</c:f>
              <c:strCache>
                <c:ptCount val="10"/>
                <c:pt idx="0">
                  <c:v>2015-16</c:v>
                </c:pt>
                <c:pt idx="1">
                  <c:v>2016-17</c:v>
                </c:pt>
                <c:pt idx="2">
                  <c:v>2017-18</c:v>
                </c:pt>
                <c:pt idx="3">
                  <c:v>2018-19</c:v>
                </c:pt>
                <c:pt idx="4">
                  <c:v>2019-20</c:v>
                </c:pt>
                <c:pt idx="5">
                  <c:v>2020-21</c:v>
                </c:pt>
                <c:pt idx="6">
                  <c:v>2021-22</c:v>
                </c:pt>
                <c:pt idx="7">
                  <c:v>2022-23</c:v>
                </c:pt>
                <c:pt idx="8">
                  <c:v>2023-24</c:v>
                </c:pt>
                <c:pt idx="9">
                  <c:v>2024-25</c:v>
                </c:pt>
              </c:strCache>
            </c:strRef>
          </c:cat>
          <c:val>
            <c:numRef>
              <c:f>'[3]Raw Data'!$B$3:$B$12</c:f>
              <c:numCache>
                <c:formatCode>General</c:formatCode>
                <c:ptCount val="10"/>
                <c:pt idx="0">
                  <c:v>6.75</c:v>
                </c:pt>
                <c:pt idx="1">
                  <c:v>6.25</c:v>
                </c:pt>
                <c:pt idx="2">
                  <c:v>6</c:v>
                </c:pt>
                <c:pt idx="3">
                  <c:v>6.25</c:v>
                </c:pt>
                <c:pt idx="4">
                  <c:v>4.4000000000000004</c:v>
                </c:pt>
                <c:pt idx="5">
                  <c:v>4</c:v>
                </c:pt>
                <c:pt idx="6">
                  <c:v>4</c:v>
                </c:pt>
                <c:pt idx="7">
                  <c:v>6.5</c:v>
                </c:pt>
                <c:pt idx="8">
                  <c:v>6.5</c:v>
                </c:pt>
                <c:pt idx="9">
                  <c:v>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E-504C-B4C6-C273C4550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0"/>
          <a:lstStyle/>
          <a:p>
            <a:pPr>
              <a:defRPr sz="1200" b="0"/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8"/>
          <c:min val="3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txPr>
          <a:bodyPr rot="0"/>
          <a:lstStyle/>
          <a:p>
            <a:pPr>
              <a:defRPr sz="950" b="0"/>
            </a:pPr>
            <a:endParaRPr lang="en-US"/>
          </a:p>
        </c:txPr>
        <c:crossAx val="10"/>
        <c:crosses val="min"/>
        <c:crossBetween val="between"/>
        <c:majorUnit val="0.5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Sheet2!$C$7</c:f>
              <c:strCache>
                <c:ptCount val="1"/>
                <c:pt idx="0">
                  <c:v>INR/USD Annual 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Sheet2!$B$8:$B$17</c:f>
              <c:strCache>
                <c:ptCount val="10"/>
                <c:pt idx="0">
                  <c:v>2015-16</c:v>
                </c:pt>
                <c:pt idx="1">
                  <c:v>2016-17</c:v>
                </c:pt>
                <c:pt idx="2">
                  <c:v>2017-18</c:v>
                </c:pt>
                <c:pt idx="3">
                  <c:v>2018-19</c:v>
                </c:pt>
                <c:pt idx="4">
                  <c:v>2019-20</c:v>
                </c:pt>
                <c:pt idx="5">
                  <c:v>2020-21</c:v>
                </c:pt>
                <c:pt idx="6">
                  <c:v>2021-22</c:v>
                </c:pt>
                <c:pt idx="7">
                  <c:v>2022-23</c:v>
                </c:pt>
                <c:pt idx="8">
                  <c:v>2023-24</c:v>
                </c:pt>
                <c:pt idx="9">
                  <c:v>2024-25</c:v>
                </c:pt>
              </c:strCache>
            </c:strRef>
          </c:cat>
          <c:val>
            <c:numRef>
              <c:f>Sheet2!$C$8:$C$17</c:f>
              <c:numCache>
                <c:formatCode>General</c:formatCode>
                <c:ptCount val="10"/>
                <c:pt idx="0">
                  <c:v>65.459999999999994</c:v>
                </c:pt>
                <c:pt idx="1">
                  <c:v>67.069999999999993</c:v>
                </c:pt>
                <c:pt idx="2">
                  <c:v>64.45</c:v>
                </c:pt>
                <c:pt idx="3">
                  <c:v>69.89</c:v>
                </c:pt>
                <c:pt idx="4">
                  <c:v>70.88</c:v>
                </c:pt>
                <c:pt idx="5">
                  <c:v>73.099999999999994</c:v>
                </c:pt>
                <c:pt idx="6">
                  <c:v>74.5</c:v>
                </c:pt>
                <c:pt idx="7">
                  <c:v>81.94</c:v>
                </c:pt>
                <c:pt idx="8">
                  <c:v>83.66</c:v>
                </c:pt>
                <c:pt idx="9">
                  <c:v>84.49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A-5D48-B102-C211F03596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27818016"/>
        <c:axId val="1714439136"/>
      </c:barChart>
      <c:catAx>
        <c:axId val="42781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439136"/>
        <c:crosses val="autoZero"/>
        <c:auto val="1"/>
        <c:lblAlgn val="ctr"/>
        <c:lblOffset val="100"/>
        <c:noMultiLvlLbl val="0"/>
      </c:catAx>
      <c:valAx>
        <c:axId val="171443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81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24190</xdr:rowOff>
    </xdr:from>
    <xdr:to>
      <xdr:col>7</xdr:col>
      <xdr:colOff>0</xdr:colOff>
      <xdr:row>36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78B5AE-EEBD-9646-ADA0-EDBCFF208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36286</xdr:colOff>
      <xdr:row>36</xdr:row>
      <xdr:rowOff>24192</xdr:rowOff>
    </xdr:from>
    <xdr:to>
      <xdr:col>7</xdr:col>
      <xdr:colOff>3936</xdr:colOff>
      <xdr:row>59</xdr:row>
      <xdr:rowOff>48382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2B9912-F5D1-9048-980A-3759D08B57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76200</xdr:colOff>
      <xdr:row>36</xdr:row>
      <xdr:rowOff>1</xdr:rowOff>
    </xdr:from>
    <xdr:to>
      <xdr:col>12</xdr:col>
      <xdr:colOff>749905</xdr:colOff>
      <xdr:row>58</xdr:row>
      <xdr:rowOff>108859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685CB9-BFB5-C144-B781-B05B187FB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7</xdr:col>
      <xdr:colOff>152399</xdr:colOff>
      <xdr:row>8</xdr:row>
      <xdr:rowOff>88900</xdr:rowOff>
    </xdr:from>
    <xdr:ext cx="7431315" cy="5540828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D4C862-9F87-0044-BBAD-0D28C3E0BC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260350</xdr:colOff>
      <xdr:row>5</xdr:row>
      <xdr:rowOff>50800</xdr:rowOff>
    </xdr:from>
    <xdr:to>
      <xdr:col>13</xdr:col>
      <xdr:colOff>520700</xdr:colOff>
      <xdr:row>23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E2C6BD-F7CA-1E05-E037-2CE11466F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Users/samridhibam/Downloads/KPI_Cards_AtoJ.xlsx" TargetMode="External"/><Relationship Id="rId1" Type="http://schemas.openxmlformats.org/officeDocument/2006/relationships/externalLinkPath" Target="https://d.docs.live.net/Users/samridhibam/Downloads/KPI_Cards_AtoJ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768860b7a006bbf/Documents/Charts_Detailed_Final.xlsx" TargetMode="External"/><Relationship Id="rId1" Type="http://schemas.openxmlformats.org/officeDocument/2006/relationships/externalLinkPath" Target="https://d.docs.live.net/3768860b7a006bbf/Documents/Charts_Detailed_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Users/samridhibam/Downloads/Chart_RepoRate.xlsx" TargetMode="External"/><Relationship Id="rId1" Type="http://schemas.openxmlformats.org/officeDocument/2006/relationships/externalLinkPath" Target="https://d.docs.live.net/Users/samridhibam/Downloads/Chart_Repo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PI Cards"/>
      <sheetName val="Raw Data"/>
    </sheetNames>
    <sheetDataSet>
      <sheetData sheetId="0"/>
      <sheetData sheetId="1">
        <row r="12">
          <cell r="B12">
            <v>187.97</v>
          </cell>
          <cell r="C12">
            <v>6.5</v>
          </cell>
          <cell r="D12">
            <v>4.5999999999999996</v>
          </cell>
          <cell r="F12">
            <v>6.25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s"/>
      <sheetName val="Data"/>
    </sheetNames>
    <sheetDataSet>
      <sheetData sheetId="0"/>
      <sheetData sheetId="1">
        <row r="2">
          <cell r="C2" t="str">
            <v>GDP Growth YoY (%)</v>
          </cell>
          <cell r="D2" t="str">
            <v>CPI Inflation (%)</v>
          </cell>
          <cell r="E2" t="str">
            <v>Core CPI (%)</v>
          </cell>
        </row>
        <row r="3">
          <cell r="A3" t="str">
            <v>2015-16</v>
          </cell>
          <cell r="C3">
            <v>8</v>
          </cell>
          <cell r="D3">
            <v>4.91</v>
          </cell>
          <cell r="E3">
            <v>4.5999999999999996</v>
          </cell>
        </row>
        <row r="4">
          <cell r="A4" t="str">
            <v>2016-17</v>
          </cell>
          <cell r="C4">
            <v>8.3000000000000007</v>
          </cell>
          <cell r="D4">
            <v>4.53</v>
          </cell>
          <cell r="E4">
            <v>4.9000000000000004</v>
          </cell>
        </row>
        <row r="5">
          <cell r="A5" t="str">
            <v>2017-18</v>
          </cell>
          <cell r="C5">
            <v>6.8</v>
          </cell>
          <cell r="D5">
            <v>3.58</v>
          </cell>
          <cell r="E5">
            <v>4.5999999999999996</v>
          </cell>
        </row>
        <row r="6">
          <cell r="A6" t="str">
            <v>2018-19</v>
          </cell>
          <cell r="C6">
            <v>6.5</v>
          </cell>
          <cell r="D6">
            <v>3.41</v>
          </cell>
          <cell r="E6">
            <v>5.8</v>
          </cell>
        </row>
        <row r="7">
          <cell r="A7" t="str">
            <v>2019-20</v>
          </cell>
          <cell r="C7">
            <v>4</v>
          </cell>
          <cell r="D7">
            <v>4.76</v>
          </cell>
          <cell r="E7">
            <v>4.0999999999999996</v>
          </cell>
        </row>
        <row r="8">
          <cell r="A8" t="str">
            <v>2020-21</v>
          </cell>
          <cell r="C8">
            <v>-6.6</v>
          </cell>
          <cell r="D8">
            <v>6.16</v>
          </cell>
          <cell r="E8">
            <v>5.5</v>
          </cell>
        </row>
        <row r="9">
          <cell r="A9" t="str">
            <v>2021-22</v>
          </cell>
          <cell r="C9">
            <v>8.6999999999999993</v>
          </cell>
          <cell r="D9">
            <v>5.51</v>
          </cell>
          <cell r="E9">
            <v>6</v>
          </cell>
        </row>
        <row r="10">
          <cell r="A10" t="str">
            <v>2022-23</v>
          </cell>
          <cell r="C10">
            <v>7</v>
          </cell>
          <cell r="D10">
            <v>6.66</v>
          </cell>
          <cell r="E10">
            <v>5.9</v>
          </cell>
        </row>
        <row r="11">
          <cell r="A11" t="str">
            <v>2023-24</v>
          </cell>
          <cell r="C11">
            <v>8.1999999999999993</v>
          </cell>
          <cell r="D11">
            <v>5.36</v>
          </cell>
          <cell r="E11">
            <v>4.9000000000000004</v>
          </cell>
        </row>
        <row r="12">
          <cell r="A12" t="str">
            <v>2024-25</v>
          </cell>
          <cell r="C12">
            <v>6.5</v>
          </cell>
          <cell r="D12">
            <v>4.5999999999999996</v>
          </cell>
          <cell r="E12">
            <v>3.5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"/>
      <sheetName val="Raw Data"/>
    </sheetNames>
    <sheetDataSet>
      <sheetData sheetId="0"/>
      <sheetData sheetId="1">
        <row r="2">
          <cell r="B2" t="str">
            <v>Repo Rate % (End of FY)</v>
          </cell>
        </row>
        <row r="3">
          <cell r="A3" t="str">
            <v>2015-16</v>
          </cell>
          <cell r="B3">
            <v>6.75</v>
          </cell>
        </row>
        <row r="4">
          <cell r="A4" t="str">
            <v>2016-17</v>
          </cell>
          <cell r="B4">
            <v>6.25</v>
          </cell>
        </row>
        <row r="5">
          <cell r="A5" t="str">
            <v>2017-18</v>
          </cell>
          <cell r="B5">
            <v>6</v>
          </cell>
        </row>
        <row r="6">
          <cell r="A6" t="str">
            <v>2018-19</v>
          </cell>
          <cell r="B6">
            <v>6.25</v>
          </cell>
        </row>
        <row r="7">
          <cell r="A7" t="str">
            <v>2019-20</v>
          </cell>
          <cell r="B7">
            <v>4.4000000000000004</v>
          </cell>
        </row>
        <row r="8">
          <cell r="A8" t="str">
            <v>2020-21</v>
          </cell>
          <cell r="B8">
            <v>4</v>
          </cell>
        </row>
        <row r="9">
          <cell r="A9" t="str">
            <v>2021-22</v>
          </cell>
          <cell r="B9">
            <v>4</v>
          </cell>
        </row>
        <row r="10">
          <cell r="A10" t="str">
            <v>2022-23</v>
          </cell>
          <cell r="B10">
            <v>6.5</v>
          </cell>
        </row>
        <row r="11">
          <cell r="A11" t="str">
            <v>2023-24</v>
          </cell>
          <cell r="B11">
            <v>6.5</v>
          </cell>
        </row>
        <row r="12">
          <cell r="A12" t="str">
            <v>2024-25</v>
          </cell>
          <cell r="B12">
            <v>6.25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B77BA4-7D48-F04B-93F2-A83F18F8457C}" name="Table1" displayName="Table1" ref="A1:L11" totalsRowShown="0">
  <autoFilter ref="A1:L11" xr:uid="{FBB77BA4-7D48-F04B-93F2-A83F18F8457C}"/>
  <tableColumns count="12">
    <tableColumn id="1" xr3:uid="{C559F925-7E50-E848-819D-ABA4C6C01191}" name="Fiscal Year"/>
    <tableColumn id="2" xr3:uid="{4E24D732-6C9B-5F4A-86DD-8DBFCB42A663}" name="Real GDP (₹ Lakh Crore)"/>
    <tableColumn id="3" xr3:uid="{2340BCD8-A4BF-CA4A-BB51-94BB53FF03F1}" name="GDP Growth YoY (%)"/>
    <tableColumn id="4" xr3:uid="{330C0AB8-4DD8-714C-B460-DEBEB59C3F59}" name="CPI Inflation (%)"/>
    <tableColumn id="5" xr3:uid="{8D0129B6-C90C-0246-A22B-363FAF6438ED}" name="Core CPI (%)"/>
    <tableColumn id="6" xr3:uid="{330E2C4B-8448-AB41-B421-8976626B3B10}" name="Repo Rate % (Mar)"/>
    <tableColumn id="7" xr3:uid="{81B0C499-67FD-DE41-B007-8C2EC1589FA1}" name="Reverse Repo % (Mar)"/>
    <tableColumn id="8" xr3:uid="{292BDDDE-8FAD-B84F-8466-58AE9C368762}" name="Fiscal Deficit % of GDP"/>
    <tableColumn id="9" xr3:uid="{C24BB84C-058E-8244-8956-B6F700DA6397}" name="Current Account % of GDP"/>
    <tableColumn id="10" xr3:uid="{F9298A0D-E3C8-3F47-BC2B-F820A3E11D1C}" name="INR/USD Annual Avg"/>
    <tableColumn id="11" xr3:uid="{6210A9C3-46A1-1146-825B-2769B8E7F03D}" name="10Y G-Sec Yield (%)"/>
    <tableColumn id="12" xr3:uid="{6E9AD23E-28D4-D342-9CCC-FF0809268C97}" name="Real Repo Rate (=F-D)">
      <calculatedColumnFormula>F2-D2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73566B2-AED8-6045-89C1-1ECF0DE06A7A}">
  <we:reference id="wa200000018" version="25.0.2.0" store="en-GB" storeType="OMEX"/>
  <we:alternateReferences>
    <we:reference id="wa200000018" version="25.0.2.0" store="WA200000018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3306F-4133-804E-915C-460F4D55EA23}">
  <dimension ref="A1:M66"/>
  <sheetViews>
    <sheetView tabSelected="1" zoomScale="60" workbookViewId="0">
      <selection activeCell="Q27" sqref="Q27"/>
    </sheetView>
  </sheetViews>
  <sheetFormatPr baseColWidth="10" defaultRowHeight="16" x14ac:dyDescent="0.2"/>
  <cols>
    <col min="1" max="1" width="15" customWidth="1"/>
    <col min="2" max="2" width="18.1640625" customWidth="1"/>
    <col min="3" max="3" width="17.5" customWidth="1"/>
    <col min="4" max="4" width="17.6640625" customWidth="1"/>
    <col min="5" max="5" width="18" customWidth="1"/>
    <col min="6" max="6" width="16.5" customWidth="1"/>
    <col min="7" max="7" width="15.5" customWidth="1"/>
    <col min="8" max="8" width="19" customWidth="1"/>
    <col min="9" max="9" width="19.33203125" customWidth="1"/>
    <col min="10" max="10" width="18.33203125" customWidth="1"/>
    <col min="11" max="11" width="17.83203125" customWidth="1"/>
    <col min="12" max="12" width="17.1640625" customWidth="1"/>
  </cols>
  <sheetData>
    <row r="1" spans="1:13" ht="51" customHeight="1" x14ac:dyDescent="0.4">
      <c r="A1" s="17" t="s">
        <v>33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x14ac:dyDescent="0.2">
      <c r="A2" s="19" t="s">
        <v>22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ht="10" customHeight="1" x14ac:dyDescent="0.2">
      <c r="A3" s="1"/>
      <c r="B3" s="1"/>
      <c r="C3" s="2"/>
      <c r="D3" s="2"/>
      <c r="E3" s="3"/>
      <c r="F3" s="3"/>
      <c r="G3" s="4"/>
      <c r="H3" s="4"/>
      <c r="I3" s="5"/>
      <c r="J3" s="5"/>
    </row>
    <row r="4" spans="1:13" ht="21" customHeight="1" x14ac:dyDescent="0.2">
      <c r="A4" s="14" t="s">
        <v>23</v>
      </c>
      <c r="B4" s="14"/>
      <c r="C4" s="15" t="s">
        <v>24</v>
      </c>
      <c r="D4" s="15"/>
      <c r="E4" s="16" t="s">
        <v>25</v>
      </c>
      <c r="F4" s="16"/>
      <c r="G4" s="20" t="s">
        <v>26</v>
      </c>
      <c r="H4" s="20"/>
      <c r="I4" s="21" t="s">
        <v>27</v>
      </c>
      <c r="J4" s="21"/>
    </row>
    <row r="5" spans="1:13" x14ac:dyDescent="0.2">
      <c r="A5" s="22">
        <f>'[1]Raw Data'!B12</f>
        <v>187.97</v>
      </c>
      <c r="B5" s="22"/>
      <c r="C5" s="23">
        <f>'[1]Raw Data'!C12</f>
        <v>6.5</v>
      </c>
      <c r="D5" s="23"/>
      <c r="E5" s="24">
        <f>'[1]Raw Data'!D12</f>
        <v>4.5999999999999996</v>
      </c>
      <c r="F5" s="24"/>
      <c r="G5" s="25">
        <f>'[1]Raw Data'!F12</f>
        <v>6.25</v>
      </c>
      <c r="H5" s="25"/>
      <c r="I5" s="26">
        <v>1.65</v>
      </c>
      <c r="J5" s="26"/>
    </row>
    <row r="6" spans="1:13" x14ac:dyDescent="0.2">
      <c r="A6" s="22"/>
      <c r="B6" s="22"/>
      <c r="C6" s="23"/>
      <c r="D6" s="23"/>
      <c r="E6" s="24"/>
      <c r="F6" s="24"/>
      <c r="G6" s="25"/>
      <c r="H6" s="25"/>
      <c r="I6" s="26"/>
      <c r="J6" s="26"/>
    </row>
    <row r="7" spans="1:13" x14ac:dyDescent="0.2">
      <c r="A7" s="27" t="s">
        <v>28</v>
      </c>
      <c r="B7" s="27"/>
      <c r="C7" s="28" t="s">
        <v>29</v>
      </c>
      <c r="D7" s="28"/>
      <c r="E7" s="29" t="s">
        <v>30</v>
      </c>
      <c r="F7" s="29"/>
      <c r="G7" s="30" t="s">
        <v>31</v>
      </c>
      <c r="H7" s="30"/>
      <c r="I7" s="31" t="s">
        <v>32</v>
      </c>
      <c r="J7" s="31"/>
    </row>
    <row r="8" spans="1:13" ht="11" customHeight="1" x14ac:dyDescent="0.2">
      <c r="A8" s="6"/>
      <c r="B8" s="6"/>
      <c r="C8" s="6"/>
      <c r="D8" s="6"/>
      <c r="E8" s="6"/>
      <c r="F8" s="6"/>
      <c r="G8" s="6"/>
      <c r="H8" s="6"/>
      <c r="I8" s="6"/>
      <c r="J8" s="6"/>
    </row>
    <row r="66" spans="6:6" x14ac:dyDescent="0.2">
      <c r="F66" s="13"/>
    </row>
  </sheetData>
  <mergeCells count="17">
    <mergeCell ref="A7:B7"/>
    <mergeCell ref="C7:D7"/>
    <mergeCell ref="E7:F7"/>
    <mergeCell ref="G7:H7"/>
    <mergeCell ref="I7:J7"/>
    <mergeCell ref="A5:B6"/>
    <mergeCell ref="C5:D6"/>
    <mergeCell ref="E5:F6"/>
    <mergeCell ref="G5:H6"/>
    <mergeCell ref="I5:J6"/>
    <mergeCell ref="A4:B4"/>
    <mergeCell ref="C4:D4"/>
    <mergeCell ref="E4:F4"/>
    <mergeCell ref="A1:M1"/>
    <mergeCell ref="A2:M2"/>
    <mergeCell ref="G4:H4"/>
    <mergeCell ref="I4:J4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774D-2813-BE4F-A9A8-613DB1BE5339}">
  <dimension ref="A1:L11"/>
  <sheetViews>
    <sheetView topLeftCell="B1" workbookViewId="0">
      <selection activeCell="D5" sqref="D5"/>
    </sheetView>
  </sheetViews>
  <sheetFormatPr baseColWidth="10" defaultRowHeight="16" x14ac:dyDescent="0.2"/>
  <cols>
    <col min="1" max="1" width="12.5" customWidth="1"/>
    <col min="2" max="2" width="23.33203125" customWidth="1"/>
    <col min="3" max="3" width="20.1640625" customWidth="1"/>
    <col min="4" max="4" width="16.83203125" customWidth="1"/>
    <col min="5" max="5" width="20.33203125" customWidth="1"/>
    <col min="6" max="6" width="19.5" customWidth="1"/>
    <col min="7" max="7" width="21.33203125" customWidth="1"/>
    <col min="8" max="8" width="22.5" customWidth="1"/>
    <col min="9" max="9" width="25" customWidth="1"/>
    <col min="10" max="10" width="21.1640625" customWidth="1"/>
    <col min="11" max="11" width="21.6640625" customWidth="1"/>
    <col min="12" max="12" width="22.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113.81</v>
      </c>
      <c r="C2">
        <v>8</v>
      </c>
      <c r="D2">
        <v>4.91</v>
      </c>
      <c r="E2">
        <v>4.5999999999999996</v>
      </c>
      <c r="F2">
        <v>6.75</v>
      </c>
      <c r="G2">
        <v>5.75</v>
      </c>
      <c r="H2">
        <v>3.5</v>
      </c>
      <c r="I2">
        <v>-1.1000000000000001</v>
      </c>
      <c r="J2">
        <v>65.459999999999994</v>
      </c>
      <c r="K2">
        <v>7.8</v>
      </c>
      <c r="L2">
        <f>F2-D2</f>
        <v>1.8399999999999999</v>
      </c>
    </row>
    <row r="3" spans="1:12" x14ac:dyDescent="0.2">
      <c r="A3" t="s">
        <v>13</v>
      </c>
      <c r="B3">
        <v>121.96</v>
      </c>
      <c r="C3">
        <v>8.3000000000000007</v>
      </c>
      <c r="D3">
        <v>4.53</v>
      </c>
      <c r="E3">
        <v>4.9000000000000004</v>
      </c>
      <c r="F3">
        <v>6.25</v>
      </c>
      <c r="G3">
        <v>5.75</v>
      </c>
      <c r="H3">
        <v>3.5</v>
      </c>
      <c r="I3">
        <v>-0.6</v>
      </c>
      <c r="J3">
        <v>67.069999999999993</v>
      </c>
      <c r="K3">
        <v>6.8</v>
      </c>
      <c r="L3">
        <f t="shared" ref="L3:L11" si="0">F3-D3</f>
        <v>1.7199999999999998</v>
      </c>
    </row>
    <row r="4" spans="1:12" x14ac:dyDescent="0.2">
      <c r="A4" t="s">
        <v>14</v>
      </c>
      <c r="B4">
        <v>130.11000000000001</v>
      </c>
      <c r="C4">
        <v>6.8</v>
      </c>
      <c r="D4">
        <v>3.58</v>
      </c>
      <c r="E4">
        <v>4.5999999999999996</v>
      </c>
      <c r="F4">
        <v>6</v>
      </c>
      <c r="G4">
        <v>5.75</v>
      </c>
      <c r="H4">
        <v>3.5</v>
      </c>
      <c r="I4">
        <v>-1.8</v>
      </c>
      <c r="J4">
        <v>64.45</v>
      </c>
      <c r="K4">
        <v>7.2</v>
      </c>
      <c r="L4">
        <f t="shared" si="0"/>
        <v>2.42</v>
      </c>
    </row>
    <row r="5" spans="1:12" x14ac:dyDescent="0.2">
      <c r="A5" t="s">
        <v>15</v>
      </c>
      <c r="B5">
        <v>139.77000000000001</v>
      </c>
      <c r="C5">
        <v>6.5</v>
      </c>
      <c r="D5">
        <v>3.41</v>
      </c>
      <c r="E5">
        <v>5.8</v>
      </c>
      <c r="F5">
        <v>6.25</v>
      </c>
      <c r="G5">
        <v>6</v>
      </c>
      <c r="H5">
        <v>3.4</v>
      </c>
      <c r="I5">
        <v>-2.1</v>
      </c>
      <c r="J5">
        <v>69.89</v>
      </c>
      <c r="K5">
        <v>7.4</v>
      </c>
      <c r="L5">
        <f t="shared" si="0"/>
        <v>2.84</v>
      </c>
    </row>
    <row r="6" spans="1:12" x14ac:dyDescent="0.2">
      <c r="A6" t="s">
        <v>16</v>
      </c>
      <c r="B6">
        <v>145.69</v>
      </c>
      <c r="C6">
        <v>4</v>
      </c>
      <c r="D6">
        <v>4.76</v>
      </c>
      <c r="E6">
        <v>4.0999999999999996</v>
      </c>
      <c r="F6">
        <v>4.4000000000000004</v>
      </c>
      <c r="G6">
        <v>4</v>
      </c>
      <c r="H6">
        <v>3.8</v>
      </c>
      <c r="I6">
        <v>-0.9</v>
      </c>
      <c r="J6">
        <v>70.88</v>
      </c>
      <c r="K6">
        <v>6.5</v>
      </c>
      <c r="L6">
        <f t="shared" si="0"/>
        <v>-0.35999999999999943</v>
      </c>
    </row>
    <row r="7" spans="1:12" x14ac:dyDescent="0.2">
      <c r="A7" t="s">
        <v>17</v>
      </c>
      <c r="B7">
        <v>135.13</v>
      </c>
      <c r="C7">
        <v>-6.6</v>
      </c>
      <c r="D7">
        <v>6.16</v>
      </c>
      <c r="E7">
        <v>5.5</v>
      </c>
      <c r="F7">
        <v>4</v>
      </c>
      <c r="G7">
        <v>3.35</v>
      </c>
      <c r="H7">
        <v>9.1999999999999993</v>
      </c>
      <c r="I7">
        <v>0.9</v>
      </c>
      <c r="J7">
        <v>73.099999999999994</v>
      </c>
      <c r="K7">
        <v>6.03</v>
      </c>
      <c r="L7">
        <f t="shared" si="0"/>
        <v>-2.16</v>
      </c>
    </row>
    <row r="8" spans="1:12" x14ac:dyDescent="0.2">
      <c r="A8" t="s">
        <v>18</v>
      </c>
      <c r="B8">
        <v>149.26</v>
      </c>
      <c r="C8">
        <v>8.6999999999999993</v>
      </c>
      <c r="D8">
        <v>5.51</v>
      </c>
      <c r="E8">
        <v>6</v>
      </c>
      <c r="F8">
        <v>4</v>
      </c>
      <c r="G8">
        <v>3.35</v>
      </c>
      <c r="H8">
        <v>6.7</v>
      </c>
      <c r="I8">
        <v>-1.2</v>
      </c>
      <c r="J8">
        <v>74.5</v>
      </c>
      <c r="K8">
        <v>6.84</v>
      </c>
      <c r="L8">
        <f t="shared" si="0"/>
        <v>-1.5099999999999998</v>
      </c>
    </row>
    <row r="9" spans="1:12" x14ac:dyDescent="0.2">
      <c r="A9" t="s">
        <v>19</v>
      </c>
      <c r="B9">
        <v>160.71</v>
      </c>
      <c r="C9">
        <v>7</v>
      </c>
      <c r="D9">
        <v>6.66</v>
      </c>
      <c r="E9">
        <v>5.9</v>
      </c>
      <c r="F9">
        <v>6.5</v>
      </c>
      <c r="G9">
        <v>3.35</v>
      </c>
      <c r="H9">
        <v>5.9</v>
      </c>
      <c r="I9">
        <v>-2</v>
      </c>
      <c r="J9">
        <v>81.94</v>
      </c>
      <c r="K9">
        <v>7.31</v>
      </c>
      <c r="L9">
        <f t="shared" si="0"/>
        <v>-0.16000000000000014</v>
      </c>
    </row>
    <row r="10" spans="1:12" x14ac:dyDescent="0.2">
      <c r="A10" t="s">
        <v>20</v>
      </c>
      <c r="B10">
        <v>173.82</v>
      </c>
      <c r="C10">
        <v>8.1999999999999993</v>
      </c>
      <c r="D10">
        <v>5.36</v>
      </c>
      <c r="E10">
        <v>4.9000000000000004</v>
      </c>
      <c r="F10">
        <v>6.5</v>
      </c>
      <c r="G10">
        <v>6.25</v>
      </c>
      <c r="H10">
        <v>5.6</v>
      </c>
      <c r="I10">
        <v>-0.7</v>
      </c>
      <c r="J10">
        <v>83.66</v>
      </c>
      <c r="K10">
        <v>7.1</v>
      </c>
      <c r="L10">
        <f t="shared" si="0"/>
        <v>1.1399999999999997</v>
      </c>
    </row>
    <row r="11" spans="1:12" x14ac:dyDescent="0.2">
      <c r="A11" t="s">
        <v>21</v>
      </c>
      <c r="B11">
        <v>187.97</v>
      </c>
      <c r="C11">
        <v>6.5</v>
      </c>
      <c r="D11">
        <v>4.5999999999999996</v>
      </c>
      <c r="E11">
        <v>3.5</v>
      </c>
      <c r="F11">
        <v>6.25</v>
      </c>
      <c r="G11">
        <v>6</v>
      </c>
      <c r="H11">
        <v>4.8</v>
      </c>
      <c r="I11">
        <v>-1.3</v>
      </c>
      <c r="J11">
        <v>84.49</v>
      </c>
      <c r="K11">
        <v>6.72</v>
      </c>
      <c r="L11">
        <f t="shared" si="0"/>
        <v>1.6500000000000004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6C84-3874-E440-8768-3D4F02C2917D}">
  <dimension ref="B7:C17"/>
  <sheetViews>
    <sheetView workbookViewId="0">
      <selection activeCell="B22" sqref="B22"/>
    </sheetView>
  </sheetViews>
  <sheetFormatPr baseColWidth="10" defaultRowHeight="16" x14ac:dyDescent="0.2"/>
  <sheetData>
    <row r="7" spans="2:3" x14ac:dyDescent="0.2">
      <c r="B7" s="7" t="s">
        <v>0</v>
      </c>
      <c r="C7" s="8" t="s">
        <v>9</v>
      </c>
    </row>
    <row r="8" spans="2:3" x14ac:dyDescent="0.2">
      <c r="B8" s="9" t="s">
        <v>12</v>
      </c>
      <c r="C8" s="10">
        <v>65.459999999999994</v>
      </c>
    </row>
    <row r="9" spans="2:3" x14ac:dyDescent="0.2">
      <c r="B9" s="11" t="s">
        <v>13</v>
      </c>
      <c r="C9" s="12">
        <v>67.069999999999993</v>
      </c>
    </row>
    <row r="10" spans="2:3" x14ac:dyDescent="0.2">
      <c r="B10" s="9" t="s">
        <v>14</v>
      </c>
      <c r="C10" s="10">
        <v>64.45</v>
      </c>
    </row>
    <row r="11" spans="2:3" x14ac:dyDescent="0.2">
      <c r="B11" s="11" t="s">
        <v>15</v>
      </c>
      <c r="C11" s="12">
        <v>69.89</v>
      </c>
    </row>
    <row r="12" spans="2:3" x14ac:dyDescent="0.2">
      <c r="B12" s="9" t="s">
        <v>16</v>
      </c>
      <c r="C12" s="10">
        <v>70.88</v>
      </c>
    </row>
    <row r="13" spans="2:3" x14ac:dyDescent="0.2">
      <c r="B13" s="11" t="s">
        <v>17</v>
      </c>
      <c r="C13" s="12">
        <v>73.099999999999994</v>
      </c>
    </row>
    <row r="14" spans="2:3" x14ac:dyDescent="0.2">
      <c r="B14" s="9" t="s">
        <v>18</v>
      </c>
      <c r="C14" s="10">
        <v>74.5</v>
      </c>
    </row>
    <row r="15" spans="2:3" x14ac:dyDescent="0.2">
      <c r="B15" s="11" t="s">
        <v>19</v>
      </c>
      <c r="C15" s="12">
        <v>81.94</v>
      </c>
    </row>
    <row r="16" spans="2:3" x14ac:dyDescent="0.2">
      <c r="B16" s="9" t="s">
        <v>20</v>
      </c>
      <c r="C16" s="10">
        <v>83.66</v>
      </c>
    </row>
    <row r="17" spans="2:3" x14ac:dyDescent="0.2">
      <c r="B17" s="11" t="s">
        <v>21</v>
      </c>
      <c r="C17" s="12">
        <v>84.49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</vt:lpstr>
      <vt:lpstr>Raw data 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Samridhi Bam</dc:creator>
  <cp:lastModifiedBy>Samridhi Bam</cp:lastModifiedBy>
  <dcterms:created xsi:type="dcterms:W3CDTF">2026-03-14T12:20:07Z</dcterms:created>
  <dcterms:modified xsi:type="dcterms:W3CDTF">2026-03-17T12:27:18Z</dcterms:modified>
</cp:coreProperties>
</file>